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c92d185b643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1fc79c896941bf"/>
    <x:sheet xmlns:r="http://schemas.openxmlformats.org/officeDocument/2006/relationships" name="Cost model" sheetId="2" r:id="Rcc68e70c5fae4992"/>
    <x:sheet xmlns:r="http://schemas.openxmlformats.org/officeDocument/2006/relationships" name="Workload scope" sheetId="3" r:id="Rd557a6cbfe87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;(&quot;$&quot;#,##0.00);&quot;-&quot;"/>
    <x:numFmt numFmtId="201" formatCode="#,##0"/>
  </x:numFmts>
  <x:fonts count="11">
    <x:font>
      <x:sz val="11"/>
      <x:name val="Carlito"/>
    </x:font>
    <x:font>
      <x:sz val="10"/>
      <x:color rgb="FF17263C"/>
      <x:name val="Arial"/>
    </x:font>
    <x:font>
      <x:b/>
      <x:sz val="14"/>
      <x:color rgb="FF183153"/>
      <x:name val="Arial"/>
    </x:font>
    <x:font>
      <x:i/>
      <x:sz val="10"/>
      <x:color rgb="FF9B3434"/>
      <x:name val="Arial"/>
    </x:font>
    <x:font>
      <x:b/>
      <x:sz val="10"/>
      <x:color rgb="FF1E528A"/>
      <x:name val="Arial"/>
    </x:font>
    <x:font>
      <x:b/>
      <x:sz val="10"/>
      <x:color rgb="FFFFFFFF"/>
      <x:name val="Arial"/>
    </x:font>
    <x:font>
      <x:sz val="10"/>
      <x:color rgb="FF1E528A"/>
      <x:name val="Arial"/>
    </x:font>
    <x:font>
      <x:b/>
      <x:sz val="12"/>
      <x:color rgb="FF183153"/>
      <x:name val="Arial"/>
    </x:font>
    <x:font>
      <x:b/>
      <x:sz val="10"/>
      <x:color rgb="FF17263C"/>
      <x:name val="Arial"/>
    </x:font>
    <x:font>
      <x:b/>
      <x:sz val="11"/>
      <x:color rgb="FF183153"/>
      <x:name val="Arial"/>
    </x:font>
    <x:font>
      <x:b/>
      <x:sz val="10"/>
      <x:color rgb="FF9B343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83153"/>
      </x:patternFill>
    </x:fill>
    <x:fill>
      <x:patternFill patternType="solid">
        <x:fgColor rgb="FFF4F7FB"/>
      </x:patternFill>
    </x:fill>
    <x:fill>
      <x:patternFill patternType="solid">
        <x:fgColor rgb="FFEAF1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/>
    <x:xf numFmtId="0" fontId="1" fillId="5" borderId="0" xfId="0" applyNumberFormat="1" applyFont="1" applyFill="1" applyBorder="1"/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9bc3ddfe14759" /><Relationship Type="http://schemas.openxmlformats.org/officeDocument/2006/relationships/theme" Target="/xl/theme/theme1.xml" Id="R9c182d21b21a4112" /><Relationship Type="http://schemas.openxmlformats.org/officeDocument/2006/relationships/sharedStrings" Target="/xl/sharedStrings.xml" Id="R702774b4775946cb" /><Relationship Type="http://schemas.openxmlformats.org/officeDocument/2006/relationships/worksheet" Target="/xl/worksheets/sheet1.xml" Id="R5c1fc79c896941bf" /><Relationship Type="http://schemas.openxmlformats.org/officeDocument/2006/relationships/worksheet" Target="/xl/worksheets/sheet2.xml" Id="Rcc68e70c5fae4992" /><Relationship Type="http://schemas.openxmlformats.org/officeDocument/2006/relationships/worksheet" Target="/xl/worksheets/sheet3.xml" Id="Rd557a6cbfe87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32" hidden="0" customWidth="1"/>
    <x:col min="2" max="2" width="8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Hybrid DR Budget Summary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1" t="str">
        <x:v>Design</x:v>
      </x:c>
      <x:c r="B4" s="1" t="str">
        <x:v>Active services at both sites; each workload has one authoritative writer and a warm alternate.</x:v>
      </x:c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8" t="str">
        <x:v>Cost metric</x:v>
      </x:c>
      <x:c r="B6" s="8" t="str">
        <x:v>Calculated result</x:v>
      </x:c>
      <x:c r="C6" s="1"/>
      <x:c r="D6" s="1"/>
      <x:c r="E6" s="1"/>
      <x:c r="F6" s="1"/>
      <x:c r="G6" s="1"/>
      <x:c r="H6" s="1"/>
      <x:c r="I6" s="1"/>
      <x:c r="J6" s="1"/>
    </x:row>
    <x:row r="7">
      <x:c r="A7" s="19" t="str">
        <x:v>Monthly recurring spend</x:v>
      </x:c>
      <x:c r="B7" s="20" t="str">
        <x:f>IF(COUNT('Cost model'!F10:F38)&lt;29,"Pending cost inputs",SUM('Cost model'!F10:F38))</x:f>
        <x:v>Pending cost inputs</x:v>
      </x:c>
      <x:c r="C7" s="1"/>
      <x:c r="D7" s="1"/>
      <x:c r="E7" s="1"/>
      <x:c r="F7" s="1"/>
      <x:c r="G7" s="1"/>
      <x:c r="H7" s="1"/>
      <x:c r="I7" s="1"/>
      <x:c r="J7" s="1"/>
    </x:row>
    <x:row r="8">
      <x:c r="A8" s="19" t="str">
        <x:v>Annual recurring spend</x:v>
      </x:c>
      <x:c r="B8" s="20" t="str">
        <x:f>IF(ISNUMBER(B7),B7*12,"Pending cost inputs")</x:f>
        <x:v>Pending cost inputs</x:v>
      </x:c>
      <x:c r="C8" s="1"/>
      <x:c r="D8" s="1"/>
      <x:c r="E8" s="1"/>
      <x:c r="F8" s="1"/>
      <x:c r="G8" s="1"/>
      <x:c r="H8" s="1"/>
      <x:c r="I8" s="1"/>
      <x:c r="J8" s="1"/>
    </x:row>
    <x:row r="9">
      <x:c r="A9" s="19" t="str">
        <x:v>One-time setup costs</x:v>
      </x:c>
      <x:c r="B9" s="20" t="str">
        <x:f>IF(COUNT('Cost model'!F46:F52)&lt;7,"Pending setup inputs",SUM('Cost model'!F46:F52))</x:f>
        <x:v>Pending setup inputs</x:v>
      </x:c>
      <x:c r="C9" s="1"/>
      <x:c r="D9" s="1"/>
      <x:c r="E9" s="1"/>
      <x:c r="F9" s="1"/>
      <x:c r="G9" s="1"/>
      <x:c r="H9" s="1"/>
      <x:c r="I9" s="1"/>
      <x:c r="J9" s="1"/>
    </x:row>
    <x:row r="10">
      <x:c r="A10" s="19" t="str">
        <x:v>First-year total</x:v>
      </x:c>
      <x:c r="B10" s="20" t="str">
        <x:f>IF(AND(ISNUMBER(B8),ISNUMBER(B9)),B8+B9,"Pending cost inputs")</x:f>
        <x:v>Pending cost inputs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 t="str">
        <x:v>Unpriced line items</x:v>
      </x:c>
      <x:c r="B11" s="21" t="n">
        <x:f>29-COUNT('Cost model'!F10:F38)+7-COUNT('Cost model'!F46:F52)</x:f>
        <x:v>36</x:v>
      </x:c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8" t="str">
        <x:v>Monthly recurring cost by category</x:v>
      </x:c>
      <x:c r="B13" s="8" t="str">
        <x:v>Calculated USD</x:v>
      </x:c>
      <x:c r="C13" s="1"/>
      <x:c r="D13" s="1"/>
      <x:c r="E13" s="1"/>
      <x:c r="F13" s="1"/>
      <x:c r="G13" s="1"/>
      <x:c r="H13" s="1"/>
      <x:c r="I13" s="1"/>
      <x:c r="J13" s="1"/>
    </x:row>
    <x:row r="14">
      <x:c r="A14" s="1" t="str">
        <x:v>OCI active compute</x:v>
      </x:c>
      <x:c r="B14" s="14" t="str">
        <x:f>IF(ISNUMBER($B$7),SUMIFS('Cost model'!$F$10:$F$38,'Cost model'!$A$10:$A$38,A14),"Pending")</x:f>
        <x:v>Pending</x:v>
      </x:c>
      <x:c r="C14" s="1"/>
      <x:c r="D14" s="1"/>
      <x:c r="E14" s="1"/>
      <x:c r="F14" s="1"/>
      <x:c r="G14" s="1"/>
      <x:c r="H14" s="1"/>
      <x:c r="I14" s="1"/>
      <x:c r="J14" s="1"/>
    </x:row>
    <x:row r="15">
      <x:c r="A15" s="1" t="str">
        <x:v>OCI warm compute</x:v>
      </x:c>
      <x:c r="B15" s="14" t="str">
        <x:f>IF(ISNUMBER($B$7),SUMIFS('Cost model'!$F$10:$F$38,'Cost model'!$A$10:$A$38,A15),"Pending")</x:f>
        <x:v>Pending</x:v>
      </x:c>
      <x:c r="C15" s="1"/>
      <x:c r="D15" s="1"/>
      <x:c r="E15" s="1"/>
      <x:c r="F15" s="1"/>
      <x:c r="G15" s="1"/>
      <x:c r="H15" s="1"/>
      <x:c r="I15" s="1"/>
      <x:c r="J15" s="1"/>
    </x:row>
    <x:row r="16">
      <x:c r="A16" s="1" t="str">
        <x:v>OCI storage</x:v>
      </x:c>
      <x:c r="B16" s="14" t="str">
        <x:f>IF(ISNUMBER($B$7),SUMIFS('Cost model'!$F$10:$F$38,'Cost model'!$A$10:$A$38,A16),"Pending")</x:f>
        <x:v>Pending</x:v>
      </x:c>
      <x:c r="C16" s="1"/>
      <x:c r="D16" s="1"/>
      <x:c r="E16" s="1"/>
      <x:c r="F16" s="1"/>
      <x:c r="G16" s="1"/>
      <x:c r="H16" s="1"/>
      <x:c r="I16" s="1"/>
      <x:c r="J16" s="1"/>
    </x:row>
    <x:row r="17">
      <x:c r="A17" s="1" t="str">
        <x:v>Network/security</x:v>
      </x:c>
      <x:c r="B17" s="14" t="str">
        <x:f>IF(ISNUMBER($B$7),SUMIFS('Cost model'!$F$10:$F$38,'Cost model'!$A$10:$A$38,A17),"Pending")</x:f>
        <x:v>Pending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Software and operations</x:v>
      </x:c>
      <x:c r="B18" s="14" t="str">
        <x:f>IF(ISNUMBER($B$7),SUMIFS('Cost model'!$F$10:$F$38,'Cost model'!$A$10:$A$38,A18),"Pending")</x:f>
        <x:v>Pending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str">
        <x:v>On-prem incremental</x:v>
      </x:c>
      <x:c r="B19" s="14" t="str">
        <x:f>IF(ISNUMBER($B$7),SUMIFS('Cost model'!$F$10:$F$38,'Cost model'!$A$10:$A$38,A19),"Pending")</x:f>
        <x:v>Pending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22" t="str">
        <x:v>Budget gate</x:v>
      </x:c>
      <x:c r="B21" s="23" t="str">
        <x:f>IF(B11=0,"Cost inputs complete; reconcile to contract","Collect rates and sizing; do not approve budget yet")</x:f>
        <x:v>Collect rates and sizing; do not approve budget yet</x:v>
      </x:c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 t="str">
        <x:v>Model scope</x:v>
      </x:c>
      <x:c r="B23" s="1" t="str">
        <x:v>Includes recurring active OCI, warm OCI, replication, networking, software, on-prem incrementals, plus one-time implementation.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 t="str">
        <x:v>Data caveat</x:v>
      </x:c>
      <x:c r="B24" s="1" t="str">
        <x:v>No live usage, government contract rates or full production inventory were supplied. Blank inputs are not zero.</x:v>
      </x:c>
      <x:c r="C24" s="1"/>
      <x:c r="D24" s="1"/>
      <x:c r="E24" s="1"/>
      <x:c r="F24" s="1"/>
      <x:c r="G24" s="1"/>
      <x:c r="H24" s="1"/>
      <x:c r="I24" s="1"/>
      <x:c r="J24" s="1"/>
    </x:row>
    <x:row r="25">
      <x:c r="A25" s="1" t="str">
        <x:v>How to use</x:v>
      </x:c>
      <x:c r="B25" s="1" t="str">
        <x:v>Fill yellow Quantity and Net rate fields on Cost model. Enter 0 only for an intentionally excluded driver.</x:v>
      </x:c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528A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6" hidden="0" customWidth="1"/>
    <x:col min="2" max="2" width="37" hidden="0" customWidth="1"/>
    <x:col min="3" max="3" width="14" hidden="0" customWidth="1"/>
    <x:col min="4" max="4" width="21" hidden="0" customWidth="1"/>
    <x:col min="5" max="5" width="20" hidden="0" customWidth="1"/>
    <x:col min="6" max="6" width="22" hidden="0" customWidth="1"/>
    <x:col min="7" max="7" width="24" hidden="0" customWidth="1"/>
    <x:col min="8" max="8" width="6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OCI Hybrid DR Cost Model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 t="str">
        <x:v>Editable quantities and net OC2 government contract rates are intentionally blank. Missing inputs remain visible.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Full month hours</x:v>
      </x:c>
      <x:c r="B6" s="1"/>
      <x:c r="C6" s="6" t="n">
        <x:v>730</x:v>
      </x:c>
      <x:c r="D6" s="1"/>
      <x:c r="E6" s="1"/>
      <x:c r="F6" s="1"/>
      <x:c r="G6" s="1"/>
      <x:c r="H6" s="1"/>
      <x:c r="I6" s="1"/>
      <x:c r="J6" s="1"/>
    </x:row>
    <x:row r="7">
      <x:c r="A7" s="1" t="str">
        <x:v>Monthly DR drill hours</x:v>
      </x:c>
      <x:c r="B7" s="1"/>
      <x:c r="C7" s="6" t="n">
        <x:v>24</x:v>
      </x:c>
      <x:c r="D7" s="1"/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31" customHeight="1">
      <x:c r="A9" s="10" t="str">
        <x:v>Cost category</x:v>
      </x:c>
      <x:c r="B9" s="10" t="str">
        <x:v>Resource / rate driver</x:v>
      </x:c>
      <x:c r="C9" s="10" t="str">
        <x:v>Quantity</x:v>
      </x:c>
      <x:c r="D9" s="10" t="str">
        <x:v>Units per item / month</x:v>
      </x:c>
      <x:c r="E9" s="10" t="str">
        <x:v>Net rate ($ / unit)</x:v>
      </x:c>
      <x:c r="F9" s="10" t="str">
        <x:v>Monthly cost (USD)</x:v>
      </x:c>
      <x:c r="G9" s="10" t="str">
        <x:v>Rate unit</x:v>
      </x:c>
      <x:c r="H9" s="10" t="str">
        <x:v>Cost and source notes</x:v>
      </x:c>
      <x:c r="I9" s="1"/>
      <x:c r="J9" s="1"/>
    </x:row>
    <x:row r="10">
      <x:c r="A10" s="1" t="str">
        <x:v>OCI active compute</x:v>
      </x:c>
      <x:c r="B10" s="1" t="str">
        <x:v>Active x86 OCPU</x:v>
      </x:c>
      <x:c r="C10" s="12"/>
      <x:c r="D10" s="16" t="n">
        <x:f>$C$6</x:f>
        <x:v>730</x:v>
      </x:c>
      <x:c r="E10" s="13"/>
      <x:c r="F10" s="14" t="str">
        <x:f>IF(C10="","Input qty",IF(C10=0,0,IF(E10="","Input rate",C10*D10*E10)))</x:f>
        <x:v>Input qty</x:v>
      </x:c>
      <x:c r="G10" s="1" t="str">
        <x:v>OCPU-hour</x:v>
      </x:c>
      <x:c r="H10" s="1" t="str">
        <x:v>Active OCI application VMs and OKE CPU workers</x:v>
      </x:c>
      <x:c r="I10" s="1"/>
      <x:c r="J10" s="1"/>
    </x:row>
    <x:row r="11">
      <x:c r="A11" s="11" t="str">
        <x:v>OCI active compute</x:v>
      </x:c>
      <x:c r="B11" s="11" t="str">
        <x:v>Active x86 memory</x:v>
      </x:c>
      <x:c r="C11" s="12"/>
      <x:c r="D11" s="17" t="n">
        <x:f>$C$6</x:f>
        <x:v>730</x:v>
      </x:c>
      <x:c r="E11" s="13"/>
      <x:c r="F11" s="15" t="str">
        <x:f>IF(C11="","Input qty",IF(C11=0,0,IF(E11="","Input rate",C11*D11*E11)))</x:f>
        <x:v>Input qty</x:v>
      </x:c>
      <x:c r="G11" s="11" t="str">
        <x:v>GiB-hour</x:v>
      </x:c>
      <x:c r="H11" s="11" t="str">
        <x:v>Operating memory in active OCI VMs/OKE workers</x:v>
      </x:c>
      <x:c r="I11" s="1"/>
      <x:c r="J11" s="1"/>
    </x:row>
    <x:row r="12">
      <x:c r="A12" s="1" t="str">
        <x:v>OCI active compute</x:v>
      </x:c>
      <x:c r="B12" s="1" t="str">
        <x:v>Active GPU VM</x:v>
      </x:c>
      <x:c r="C12" s="12"/>
      <x:c r="D12" s="16" t="n">
        <x:f>$C$6</x:f>
        <x:v>730</x:v>
      </x:c>
      <x:c r="E12" s="13"/>
      <x:c r="F12" s="14" t="str">
        <x:f>IF(C12="","Input qty",IF(C12=0,0,IF(E12="","Input rate",C12*D12*E12)))</x:f>
        <x:v>Input qty</x:v>
      </x:c>
      <x:c r="G12" s="1" t="str">
        <x:v>GPU VM-hour</x:v>
      </x:c>
      <x:c r="H12" s="1" t="str">
        <x:v>Only currently active and approved GPU pools</x:v>
      </x:c>
      <x:c r="I12" s="1"/>
      <x:c r="J12" s="1"/>
    </x:row>
    <x:row r="13">
      <x:c r="A13" s="11" t="str">
        <x:v>OCI warm compute</x:v>
      </x:c>
      <x:c r="B13" s="11" t="str">
        <x:v>Warm recovery x86 OCPU</x:v>
      </x:c>
      <x:c r="C13" s="12"/>
      <x:c r="D13" s="17" t="n">
        <x:f>$C$6</x:f>
        <x:v>730</x:v>
      </x:c>
      <x:c r="E13" s="13"/>
      <x:c r="F13" s="15" t="str">
        <x:f>IF(C13="","Input qty",IF(C13=0,0,IF(E13="","Input rate",C13*D13*E13)))</x:f>
        <x:v>Input qty</x:v>
      </x:c>
      <x:c r="G13" s="11" t="str">
        <x:v>OCPU-hour</x:v>
      </x:c>
      <x:c r="H13" s="11" t="str">
        <x:v>Reduced always-on recovery pool</x:v>
      </x:c>
      <x:c r="I13" s="1"/>
      <x:c r="J13" s="1"/>
    </x:row>
    <x:row r="14">
      <x:c r="A14" s="1" t="str">
        <x:v>OCI warm compute</x:v>
      </x:c>
      <x:c r="B14" s="1" t="str">
        <x:v>Warm recovery x86 memory</x:v>
      </x:c>
      <x:c r="C14" s="12"/>
      <x:c r="D14" s="16" t="n">
        <x:f>$C$6</x:f>
        <x:v>730</x:v>
      </x:c>
      <x:c r="E14" s="13"/>
      <x:c r="F14" s="14" t="str">
        <x:f>IF(C14="","Input qty",IF(C14=0,0,IF(E14="","Input rate",C14*D14*E14)))</x:f>
        <x:v>Input qty</x:v>
      </x:c>
      <x:c r="G14" s="1" t="str">
        <x:v>GiB-hour</x:v>
      </x:c>
      <x:c r="H14" s="1" t="str">
        <x:v>Memory in reduced recovery pool</x:v>
      </x:c>
      <x:c r="I14" s="1"/>
      <x:c r="J14" s="1"/>
    </x:row>
    <x:row r="15">
      <x:c r="A15" s="11" t="str">
        <x:v>OCI warm compute</x:v>
      </x:c>
      <x:c r="B15" s="11" t="str">
        <x:v>GPU DR drill / scale-up</x:v>
      </x:c>
      <x:c r="C15" s="12"/>
      <x:c r="D15" s="17" t="n">
        <x:f>$C$7</x:f>
        <x:v>24</x:v>
      </x:c>
      <x:c r="E15" s="13"/>
      <x:c r="F15" s="15" t="str">
        <x:f>IF(C15="","Input qty",IF(C15=0,0,IF(E15="","Input rate",C15*D15*E15)))</x:f>
        <x:v>Input qty</x:v>
      </x:c>
      <x:c r="G15" s="11" t="str">
        <x:v>GPU VM-hour</x:v>
      </x:c>
      <x:c r="H15" s="11" t="str">
        <x:v>DR rehearsal hours; quota/capacity is separate</x:v>
      </x:c>
      <x:c r="I15" s="1"/>
      <x:c r="J15" s="1"/>
    </x:row>
    <x:row r="16">
      <x:c r="A16" s="1" t="str">
        <x:v>OCI warm compute</x:v>
      </x:c>
      <x:c r="B16" s="1" t="str">
        <x:v>Reserved GPU capacity premium</x:v>
      </x:c>
      <x:c r="C16" s="12"/>
      <x:c r="D16" s="16" t="n">
        <x:f>1</x:f>
        <x:v>1</x:v>
      </x:c>
      <x:c r="E16" s="13"/>
      <x:c r="F16" s="14" t="str">
        <x:f>IF(C16="","Input qty",IF(C16=0,0,IF(E16="","Input rate",C16*D16*E16)))</x:f>
        <x:v>Input qty</x:v>
      </x:c>
      <x:c r="G16" s="1" t="str">
        <x:v>reservation-month</x:v>
      </x:c>
      <x:c r="H16" s="1" t="str">
        <x:v>Only if supported, procured and charged</x:v>
      </x:c>
      <x:c r="I16" s="1"/>
      <x:c r="J16" s="1"/>
    </x:row>
    <x:row r="17">
      <x:c r="A17" s="11" t="str">
        <x:v>OCI active compute</x:v>
      </x:c>
      <x:c r="B17" s="11" t="str">
        <x:v>OKE managed cluster fee</x:v>
      </x:c>
      <x:c r="C17" s="12"/>
      <x:c r="D17" s="17" t="n">
        <x:f>1</x:f>
        <x:v>1</x:v>
      </x:c>
      <x:c r="E17" s="13"/>
      <x:c r="F17" s="15" t="str">
        <x:f>IF(C17="","Input qty",IF(C17=0,0,IF(E17="","Input rate",C17*D17*E17)))</x:f>
        <x:v>Input qty</x:v>
      </x:c>
      <x:c r="G17" s="11" t="str">
        <x:v>cluster-month</x:v>
      </x:c>
      <x:c r="H17" s="11" t="str">
        <x:v>Apply only contracted cluster management tier</x:v>
      </x:c>
      <x:c r="I17" s="1"/>
      <x:c r="J17" s="1"/>
    </x:row>
    <x:row r="18">
      <x:c r="A18" s="1" t="str">
        <x:v>OCI storage</x:v>
      </x:c>
      <x:c r="B18" s="1" t="str">
        <x:v>Boot and block volumes</x:v>
      </x:c>
      <x:c r="C18" s="12"/>
      <x:c r="D18" s="16" t="n">
        <x:f>1</x:f>
        <x:v>1</x:v>
      </x:c>
      <x:c r="E18" s="13"/>
      <x:c r="F18" s="14" t="str">
        <x:f>IF(C18="","Input qty",IF(C18=0,0,IF(E18="","Input rate",C18*D18*E18)))</x:f>
        <x:v>Input qty</x:v>
      </x:c>
      <x:c r="G18" s="1" t="str">
        <x:v>GB-month</x:v>
      </x:c>
      <x:c r="H18" s="1" t="str">
        <x:v>Persistent volumes for active and warm VMs</x:v>
      </x:c>
      <x:c r="I18" s="1"/>
      <x:c r="J18" s="1"/>
    </x:row>
    <x:row r="19">
      <x:c r="A19" s="11" t="str">
        <x:v>OCI storage</x:v>
      </x:c>
      <x:c r="B19" s="11" t="str">
        <x:v>OCI File Storage</x:v>
      </x:c>
      <x:c r="C19" s="12"/>
      <x:c r="D19" s="17" t="n">
        <x:f>1</x:f>
        <x:v>1</x:v>
      </x:c>
      <x:c r="E19" s="13"/>
      <x:c r="F19" s="15" t="str">
        <x:f>IF(C19="","Input qty",IF(C19=0,0,IF(E19="","Input rate",C19*D19*E19)))</x:f>
        <x:v>Input qty</x:v>
      </x:c>
      <x:c r="G19" s="11" t="str">
        <x:v>GB-month</x:v>
      </x:c>
      <x:c r="H19" s="11" t="str">
        <x:v>Private file datasets and recovery shares</x:v>
      </x:c>
      <x:c r="I19" s="1"/>
      <x:c r="J19" s="1"/>
    </x:row>
    <x:row r="20">
      <x:c r="A20" s="1" t="str">
        <x:v>OCI storage</x:v>
      </x:c>
      <x:c r="B20" s="1" t="str">
        <x:v>Object Storage standard</x:v>
      </x:c>
      <x:c r="C20" s="12"/>
      <x:c r="D20" s="16" t="n">
        <x:f>1</x:f>
        <x:v>1</x:v>
      </x:c>
      <x:c r="E20" s="13"/>
      <x:c r="F20" s="14" t="str">
        <x:f>IF(C20="","Input qty",IF(C20=0,0,IF(E20="","Input rate",C20*D20*E20)))</x:f>
        <x:v>Input qty</x:v>
      </x:c>
      <x:c r="G20" s="1" t="str">
        <x:v>GB-month</x:v>
      </x:c>
      <x:c r="H20" s="1" t="str">
        <x:v>Versioned application data and backups</x:v>
      </x:c>
      <x:c r="I20" s="1"/>
      <x:c r="J20" s="1"/>
    </x:row>
    <x:row r="21">
      <x:c r="A21" s="11" t="str">
        <x:v>OCI storage</x:v>
      </x:c>
      <x:c r="B21" s="11" t="str">
        <x:v>Object Storage archive</x:v>
      </x:c>
      <x:c r="C21" s="12"/>
      <x:c r="D21" s="17" t="n">
        <x:f>1</x:f>
        <x:v>1</x:v>
      </x:c>
      <x:c r="E21" s="13"/>
      <x:c r="F21" s="15" t="str">
        <x:f>IF(C21="","Input qty",IF(C21=0,0,IF(E21="","Input rate",C21*D21*E21)))</x:f>
        <x:v>Input qty</x:v>
      </x:c>
      <x:c r="G21" s="11" t="str">
        <x:v>GB-month</x:v>
      </x:c>
      <x:c r="H21" s="11" t="str">
        <x:v>Approved archive-tier backup volumes</x:v>
      </x:c>
      <x:c r="I21" s="1"/>
      <x:c r="J21" s="1"/>
    </x:row>
    <x:row r="22">
      <x:c r="A22" s="1" t="str">
        <x:v>OCI storage</x:v>
      </x:c>
      <x:c r="B22" s="1" t="str">
        <x:v>Backup or snapshot excess</x:v>
      </x:c>
      <x:c r="C22" s="12"/>
      <x:c r="D22" s="16" t="n">
        <x:f>1</x:f>
        <x:v>1</x:v>
      </x:c>
      <x:c r="E22" s="13"/>
      <x:c r="F22" s="14" t="str">
        <x:f>IF(C22="","Input qty",IF(C22=0,0,IF(E22="","Input rate",C22*D22*E22)))</x:f>
        <x:v>Input qty</x:v>
      </x:c>
      <x:c r="G22" s="1" t="str">
        <x:v>GB-month</x:v>
      </x:c>
      <x:c r="H22" s="1" t="str">
        <x:v>Avoid double counting existing Object Storage line</x:v>
      </x:c>
      <x:c r="I22" s="1"/>
      <x:c r="J22" s="1"/>
    </x:row>
    <x:row r="23">
      <x:c r="A23" s="11" t="str">
        <x:v>Network/security</x:v>
      </x:c>
      <x:c r="B23" s="11" t="str">
        <x:v>FastConnect OCI virtual circuits</x:v>
      </x:c>
      <x:c r="C23" s="12"/>
      <x:c r="D23" s="17" t="n">
        <x:f>$C$6</x:f>
        <x:v>730</x:v>
      </x:c>
      <x:c r="E23" s="13"/>
      <x:c r="F23" s="15" t="str">
        <x:f>IF(C23="","Input qty",IF(C23=0,0,IF(E23="","Input rate",C23*D23*E23)))</x:f>
        <x:v>Input qty</x:v>
      </x:c>
      <x:c r="G23" s="11" t="str">
        <x:v>circuit-hour</x:v>
      </x:c>
      <x:c r="H23" s="11" t="str">
        <x:v>Quantity = billable virtual circuits</x:v>
      </x:c>
      <x:c r="I23" s="1"/>
      <x:c r="J23" s="1"/>
    </x:row>
    <x:row r="24">
      <x:c r="A24" s="1" t="str">
        <x:v>Network/security</x:v>
      </x:c>
      <x:c r="B24" s="1" t="str">
        <x:v>Carrier / cross-connect</x:v>
      </x:c>
      <x:c r="C24" s="12"/>
      <x:c r="D24" s="16" t="n">
        <x:f>1</x:f>
        <x:v>1</x:v>
      </x:c>
      <x:c r="E24" s="13"/>
      <x:c r="F24" s="14" t="str">
        <x:f>IF(C24="","Input qty",IF(C24=0,0,IF(E24="","Input rate",C24*D24*E24)))</x:f>
        <x:v>Input qty</x:v>
      </x:c>
      <x:c r="G24" s="1" t="str">
        <x:v>link-month</x:v>
      </x:c>
      <x:c r="H24" s="1" t="str">
        <x:v>Quoted carrier charge, incremental only</x:v>
      </x:c>
      <x:c r="I24" s="1"/>
      <x:c r="J24" s="1"/>
    </x:row>
    <x:row r="25">
      <x:c r="A25" s="11" t="str">
        <x:v>Network/security</x:v>
      </x:c>
      <x:c r="B25" s="11" t="str">
        <x:v>Independent VPN / CPE</x:v>
      </x:c>
      <x:c r="C25" s="12"/>
      <x:c r="D25" s="17" t="n">
        <x:f>1</x:f>
        <x:v>1</x:v>
      </x:c>
      <x:c r="E25" s="13"/>
      <x:c r="F25" s="15" t="str">
        <x:f>IF(C25="","Input qty",IF(C25=0,0,IF(E25="","Input rate",C25*D25*E25)))</x:f>
        <x:v>Input qty</x:v>
      </x:c>
      <x:c r="G25" s="11" t="str">
        <x:v>service-month</x:v>
      </x:c>
      <x:c r="H25" s="11" t="str">
        <x:v>Redundant edge and support cost</x:v>
      </x:c>
      <x:c r="I25" s="1"/>
      <x:c r="J25" s="1"/>
    </x:row>
    <x:row r="26">
      <x:c r="A26" s="1" t="str">
        <x:v>Network/security</x:v>
      </x:c>
      <x:c r="B26" s="1" t="str">
        <x:v>OCI Network Firewall capacity</x:v>
      </x:c>
      <x:c r="C26" s="12"/>
      <x:c r="D26" s="16" t="n">
        <x:f>$C$6</x:f>
        <x:v>730</x:v>
      </x:c>
      <x:c r="E26" s="13"/>
      <x:c r="F26" s="14" t="str">
        <x:f>IF(C26="","Input qty",IF(C26=0,0,IF(E26="","Input rate",C26*D26*E26)))</x:f>
        <x:v>Input qty</x:v>
      </x:c>
      <x:c r="G26" s="1" t="str">
        <x:v>firewall-hour</x:v>
      </x:c>
      <x:c r="H26" s="1" t="str">
        <x:v>Applicable shape/availability and fixed cost</x:v>
      </x:c>
      <x:c r="I26" s="1"/>
      <x:c r="J26" s="1"/>
    </x:row>
    <x:row r="27">
      <x:c r="A27" s="11" t="str">
        <x:v>Network/security</x:v>
      </x:c>
      <x:c r="B27" s="11" t="str">
        <x:v>Firewall inspected traffic</x:v>
      </x:c>
      <x:c r="C27" s="12"/>
      <x:c r="D27" s="17" t="n">
        <x:f>1</x:f>
        <x:v>1</x:v>
      </x:c>
      <x:c r="E27" s="13"/>
      <x:c r="F27" s="15" t="str">
        <x:f>IF(C27="","Input qty",IF(C27=0,0,IF(E27="","Input rate",C27*D27*E27)))</x:f>
        <x:v>Input qty</x:v>
      </x:c>
      <x:c r="G27" s="11" t="str">
        <x:v>GB</x:v>
      </x:c>
      <x:c r="H27" s="11" t="str">
        <x:v>Only if per-GB rate applies</x:v>
      </x:c>
      <x:c r="I27" s="1"/>
      <x:c r="J27" s="1"/>
    </x:row>
    <x:row r="28">
      <x:c r="A28" s="1" t="str">
        <x:v>Network/security</x:v>
      </x:c>
      <x:c r="B28" s="1" t="str">
        <x:v>Private load balancer</x:v>
      </x:c>
      <x:c r="C28" s="12"/>
      <x:c r="D28" s="16" t="n">
        <x:f>$C$6</x:f>
        <x:v>730</x:v>
      </x:c>
      <x:c r="E28" s="13"/>
      <x:c r="F28" s="14" t="str">
        <x:f>IF(C28="","Input qty",IF(C28=0,0,IF(E28="","Input rate",C28*D28*E28)))</x:f>
        <x:v>Input qty</x:v>
      </x:c>
      <x:c r="G28" s="1" t="str">
        <x:v>LB-hour</x:v>
      </x:c>
      <x:c r="H28" s="1" t="str">
        <x:v>Active and approved warm endpoints</x:v>
      </x:c>
      <x:c r="I28" s="1"/>
      <x:c r="J28" s="1"/>
    </x:row>
    <x:row r="29">
      <x:c r="A29" s="11" t="str">
        <x:v>Network/security</x:v>
      </x:c>
      <x:c r="B29" s="11" t="str">
        <x:v>Inter-site egress / transport</x:v>
      </x:c>
      <x:c r="C29" s="12"/>
      <x:c r="D29" s="17" t="n">
        <x:f>1</x:f>
        <x:v>1</x:v>
      </x:c>
      <x:c r="E29" s="13"/>
      <x:c r="F29" s="15" t="str">
        <x:f>IF(C29="","Input qty",IF(C29=0,0,IF(E29="","Input rate",C29*D29*E29)))</x:f>
        <x:v>Input qty</x:v>
      </x:c>
      <x:c r="G29" s="11" t="str">
        <x:v>GB</x:v>
      </x:c>
      <x:c r="H29" s="11" t="str">
        <x:v>Use directional charged transfer volume</x:v>
      </x:c>
      <x:c r="I29" s="1"/>
      <x:c r="J29" s="1"/>
    </x:row>
    <x:row r="30">
      <x:c r="A30" s="1" t="str">
        <x:v>Network/security</x:v>
      </x:c>
      <x:c r="B30" s="1" t="str">
        <x:v>Logging and audit retention</x:v>
      </x:c>
      <x:c r="C30" s="12"/>
      <x:c r="D30" s="16" t="n">
        <x:f>1</x:f>
        <x:v>1</x:v>
      </x:c>
      <x:c r="E30" s="13"/>
      <x:c r="F30" s="14" t="str">
        <x:f>IF(C30="","Input qty",IF(C30=0,0,IF(E30="","Input rate",C30*D30*E30)))</x:f>
        <x:v>Input qty</x:v>
      </x:c>
      <x:c r="G30" s="1" t="str">
        <x:v>GB</x:v>
      </x:c>
      <x:c r="H30" s="1" t="str">
        <x:v>Log ingest/storage after allowances</x:v>
      </x:c>
      <x:c r="I30" s="1"/>
      <x:c r="J30" s="1"/>
    </x:row>
    <x:row r="31">
      <x:c r="A31" s="11" t="str">
        <x:v>Software and operations</x:v>
      </x:c>
      <x:c r="B31" s="11" t="str">
        <x:v>DR replication software</x:v>
      </x:c>
      <x:c r="C31" s="12"/>
      <x:c r="D31" s="17" t="n">
        <x:f>1</x:f>
        <x:v>1</x:v>
      </x:c>
      <x:c r="E31" s="13"/>
      <x:c r="F31" s="15" t="str">
        <x:f>IF(C31="","Input qty",IF(C31=0,0,IF(E31="","Input rate",C31*D31*E31)))</x:f>
        <x:v>Input qty</x:v>
      </x:c>
      <x:c r="G31" s="11" t="str">
        <x:v>protected-system-month</x:v>
      </x:c>
      <x:c r="H31" s="11" t="str">
        <x:v>Validate approved RHEL/VMware app DR entitlement</x:v>
      </x:c>
      <x:c r="I31" s="1"/>
      <x:c r="J31" s="1"/>
    </x:row>
    <x:row r="32">
      <x:c r="A32" s="1" t="str">
        <x:v>Software and operations</x:v>
      </x:c>
      <x:c r="B32" s="1" t="str">
        <x:v>Database / Data Guard options</x:v>
      </x:c>
      <x:c r="C32" s="12"/>
      <x:c r="D32" s="16" t="n">
        <x:f>1</x:f>
        <x:v>1</x:v>
      </x:c>
      <x:c r="E32" s="13"/>
      <x:c r="F32" s="14" t="str">
        <x:f>IF(C32="","Input qty",IF(C32=0,0,IF(E32="","Input rate",C32*D32*E32)))</x:f>
        <x:v>Input qty</x:v>
      </x:c>
      <x:c r="G32" s="1" t="str">
        <x:v>license-month</x:v>
      </x:c>
      <x:c r="H32" s="1" t="str">
        <x:v>Net incremental license/support after BYOL review</x:v>
      </x:c>
      <x:c r="I32" s="1"/>
      <x:c r="J32" s="1"/>
    </x:row>
    <x:row r="33">
      <x:c r="A33" s="11" t="str">
        <x:v>Software and operations</x:v>
      </x:c>
      <x:c r="B33" s="11" t="str">
        <x:v>RHEL / OS support</x:v>
      </x:c>
      <x:c r="C33" s="12"/>
      <x:c r="D33" s="17" t="n">
        <x:f>1</x:f>
        <x:v>1</x:v>
      </x:c>
      <x:c r="E33" s="13"/>
      <x:c r="F33" s="15" t="str">
        <x:f>IF(C33="","Input qty",IF(C33=0,0,IF(E33="","Input rate",C33*D33*E33)))</x:f>
        <x:v>Input qty</x:v>
      </x:c>
      <x:c r="G33" s="11" t="str">
        <x:v>subscription-month</x:v>
      </x:c>
      <x:c r="H33" s="11" t="str">
        <x:v>Review 20-license historical assumption separately</x:v>
      </x:c>
      <x:c r="I33" s="1"/>
      <x:c r="J33" s="1"/>
    </x:row>
    <x:row r="34">
      <x:c r="A34" s="1" t="str">
        <x:v>Software and operations</x:v>
      </x:c>
      <x:c r="B34" s="1" t="str">
        <x:v>DR monitoring and alerting</x:v>
      </x:c>
      <x:c r="C34" s="12"/>
      <x:c r="D34" s="16" t="n">
        <x:f>1</x:f>
        <x:v>1</x:v>
      </x:c>
      <x:c r="E34" s="13"/>
      <x:c r="F34" s="14" t="str">
        <x:f>IF(C34="","Input qty",IF(C34=0,0,IF(E34="","Input rate",C34*D34*E34)))</x:f>
        <x:v>Input qty</x:v>
      </x:c>
      <x:c r="G34" s="1" t="str">
        <x:v>service-month</x:v>
      </x:c>
      <x:c r="H34" s="1" t="str">
        <x:v>Incremental tools, key management, alarms</x:v>
      </x:c>
      <x:c r="I34" s="1"/>
      <x:c r="J34" s="1"/>
    </x:row>
    <x:row r="35">
      <x:c r="A35" s="11" t="str">
        <x:v>Software and operations</x:v>
      </x:c>
      <x:c r="B35" s="11" t="str">
        <x:v>DR exercise labor</x:v>
      </x:c>
      <x:c r="C35" s="12"/>
      <x:c r="D35" s="17" t="n">
        <x:f>1</x:f>
        <x:v>1</x:v>
      </x:c>
      <x:c r="E35" s="13"/>
      <x:c r="F35" s="15" t="str">
        <x:f>IF(C35="","Input qty",IF(C35=0,0,IF(E35="","Input rate",C35*D35*E35)))</x:f>
        <x:v>Input qty</x:v>
      </x:c>
      <x:c r="G35" s="11" t="str">
        <x:v>engineer-hour</x:v>
      </x:c>
      <x:c r="H35" s="11" t="str">
        <x:v>Monthly equivalent of periodic drill labor</x:v>
      </x:c>
      <x:c r="I35" s="1"/>
      <x:c r="J35" s="1"/>
    </x:row>
    <x:row r="36">
      <x:c r="A36" s="1" t="str">
        <x:v>On-prem incremental</x:v>
      </x:c>
      <x:c r="B36" s="1" t="str">
        <x:v>Secondary on-prem storage</x:v>
      </x:c>
      <x:c r="C36" s="12"/>
      <x:c r="D36" s="16" t="n">
        <x:f>1</x:f>
        <x:v>1</x:v>
      </x:c>
      <x:c r="E36" s="13"/>
      <x:c r="F36" s="14" t="str">
        <x:f>IF(C36="","Input qty",IF(C36=0,0,IF(E36="","Input rate",C36*D36*E36)))</x:f>
        <x:v>Input qty</x:v>
      </x:c>
      <x:c r="G36" s="1" t="str">
        <x:v>GB-month</x:v>
      </x:c>
      <x:c r="H36" s="1" t="str">
        <x:v>On-prem recovery of OCI-owned workloads</x:v>
      </x:c>
      <x:c r="I36" s="1"/>
      <x:c r="J36" s="1"/>
    </x:row>
    <x:row r="37">
      <x:c r="A37" s="11" t="str">
        <x:v>On-prem incremental</x:v>
      </x:c>
      <x:c r="B37" s="11" t="str">
        <x:v>Secondary on-prem hardware support</x:v>
      </x:c>
      <x:c r="C37" s="12"/>
      <x:c r="D37" s="17" t="n">
        <x:f>1</x:f>
        <x:v>1</x:v>
      </x:c>
      <x:c r="E37" s="13"/>
      <x:c r="F37" s="15" t="str">
        <x:f>IF(C37="","Input qty",IF(C37=0,0,IF(E37="","Input rate",C37*D37*E37)))</x:f>
        <x:v>Input qty</x:v>
      </x:c>
      <x:c r="G37" s="11" t="str">
        <x:v>asset-month</x:v>
      </x:c>
      <x:c r="H37" s="11" t="str">
        <x:v>Only additional hardware/maintenance, not sunk spend</x:v>
      </x:c>
      <x:c r="I37" s="1"/>
      <x:c r="J37" s="1"/>
    </x:row>
    <x:row r="38">
      <x:c r="A38" s="1" t="str">
        <x:v>On-prem incremental</x:v>
      </x:c>
      <x:c r="B38" s="1" t="str">
        <x:v>Independent admin / network edge</x:v>
      </x:c>
      <x:c r="C38" s="12"/>
      <x:c r="D38" s="16" t="n">
        <x:f>1</x:f>
        <x:v>1</x:v>
      </x:c>
      <x:c r="E38" s="13"/>
      <x:c r="F38" s="14" t="str">
        <x:f>IF(C38="","Input qty",IF(C38=0,0,IF(E38="","Input rate",C38*D38*E38)))</x:f>
        <x:v>Input qty</x:v>
      </x:c>
      <x:c r="G38" s="1" t="str">
        <x:v>service-month</x:v>
      </x:c>
      <x:c r="H38" s="1" t="str">
        <x:v>Off-site network/auth management survivability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8" t="str">
        <x:v>One-time deployment costs</x:v>
      </x:c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8" t="str">
        <x:v>Workstream</x:v>
      </x:c>
      <x:c r="B45" s="8" t="str">
        <x:v>Cost unit</x:v>
      </x:c>
      <x:c r="C45" s="8" t="str">
        <x:v>Quantity</x:v>
      </x:c>
      <x:c r="D45" s="8" t="str">
        <x:v>Units per item</x:v>
      </x:c>
      <x:c r="E45" s="8" t="str">
        <x:v>Rate ($ / unit)</x:v>
      </x:c>
      <x:c r="F45" s="8" t="str">
        <x:v>One-time cost</x:v>
      </x:c>
      <x:c r="G45" s="1"/>
      <x:c r="H45" s="1"/>
      <x:c r="I45" s="1"/>
      <x:c r="J45" s="1"/>
    </x:row>
    <x:row r="46">
      <x:c r="A46" s="1" t="str">
        <x:v>Initial network and SCCA architecture</x:v>
      </x:c>
      <x:c r="B46" s="1" t="str">
        <x:v>engineer-hour</x:v>
      </x:c>
      <x:c r="C46" s="12"/>
      <x:c r="D46" s="1" t="n">
        <x:v>1</x:v>
      </x:c>
      <x:c r="E46" s="13"/>
      <x:c r="F46" s="14" t="str">
        <x:f>IF(C46="","Input qty",IF(C46=0,0,IF(E46="","Input rate",C46*D46*E46)))</x:f>
        <x:v>Input qty</x:v>
      </x:c>
      <x:c r="G46" s="1"/>
      <x:c r="H46" s="1"/>
      <x:c r="I46" s="1"/>
      <x:c r="J46" s="1"/>
    </x:row>
    <x:row r="47">
      <x:c r="A47" s="1" t="str">
        <x:v>CD3 / Terraform baseline and change integration</x:v>
      </x:c>
      <x:c r="B47" s="1" t="str">
        <x:v>engineer-hour</x:v>
      </x:c>
      <x:c r="C47" s="12"/>
      <x:c r="D47" s="1" t="n">
        <x:v>1</x:v>
      </x:c>
      <x:c r="E47" s="13"/>
      <x:c r="F47" s="14" t="str">
        <x:f>IF(C47="","Input qty",IF(C47=0,0,IF(E47="","Input rate",C47*D47*E47)))</x:f>
        <x:v>Input qty</x:v>
      </x:c>
      <x:c r="G47" s="1"/>
      <x:c r="H47" s="1"/>
      <x:c r="I47" s="1"/>
      <x:c r="J47" s="1"/>
    </x:row>
    <x:row r="48">
      <x:c r="A48" s="1" t="str">
        <x:v>Database and VM initial replication / data seeding</x:v>
      </x:c>
      <x:c r="B48" s="1" t="str">
        <x:v>engineer-hour</x:v>
      </x:c>
      <x:c r="C48" s="12"/>
      <x:c r="D48" s="1" t="n">
        <x:v>1</x:v>
      </x:c>
      <x:c r="E48" s="13"/>
      <x:c r="F48" s="14" t="str">
        <x:f>IF(C48="","Input qty",IF(C48=0,0,IF(E48="","Input rate",C48*D48*E48)))</x:f>
        <x:v>Input qty</x:v>
      </x:c>
      <x:c r="G48" s="1"/>
      <x:c r="H48" s="1"/>
      <x:c r="I48" s="1"/>
      <x:c r="J48" s="1"/>
    </x:row>
    <x:row r="49">
      <x:c r="A49" s="1" t="str">
        <x:v>Application OKE / GPU recovery build</x:v>
      </x:c>
      <x:c r="B49" s="1" t="str">
        <x:v>engineer-hour</x:v>
      </x:c>
      <x:c r="C49" s="12"/>
      <x:c r="D49" s="1" t="n">
        <x:v>1</x:v>
      </x:c>
      <x:c r="E49" s="13"/>
      <x:c r="F49" s="14" t="str">
        <x:f>IF(C49="","Input qty",IF(C49=0,0,IF(E49="","Input rate",C49*D49*E49)))</x:f>
        <x:v>Input qty</x:v>
      </x:c>
      <x:c r="G49" s="1"/>
      <x:c r="H49" s="1"/>
      <x:c r="I49" s="1"/>
      <x:c r="J49" s="1"/>
    </x:row>
    <x:row r="50">
      <x:c r="A50" s="1" t="str">
        <x:v>Security / ATO / compliance validation</x:v>
      </x:c>
      <x:c r="B50" s="1" t="str">
        <x:v>engineer-hour</x:v>
      </x:c>
      <x:c r="C50" s="12"/>
      <x:c r="D50" s="1" t="n">
        <x:v>1</x:v>
      </x:c>
      <x:c r="E50" s="13"/>
      <x:c r="F50" s="14" t="str">
        <x:f>IF(C50="","Input qty",IF(C50=0,0,IF(E50="","Input rate",C50*D50*E50)))</x:f>
        <x:v>Input qty</x:v>
      </x:c>
      <x:c r="G50" s="1"/>
      <x:c r="H50" s="1"/>
      <x:c r="I50" s="1"/>
      <x:c r="J50" s="1"/>
    </x:row>
    <x:row r="51">
      <x:c r="A51" s="1" t="str">
        <x:v>Failover/failback test and documentation</x:v>
      </x:c>
      <x:c r="B51" s="1" t="str">
        <x:v>engineer-hour</x:v>
      </x:c>
      <x:c r="C51" s="12"/>
      <x:c r="D51" s="1" t="n">
        <x:v>1</x:v>
      </x:c>
      <x:c r="E51" s="13"/>
      <x:c r="F51" s="14" t="str">
        <x:f>IF(C51="","Input qty",IF(C51=0,0,IF(E51="","Input rate",C51*D51*E51)))</x:f>
        <x:v>Input qty</x:v>
      </x:c>
      <x:c r="G51" s="1"/>
      <x:c r="H51" s="1"/>
      <x:c r="I51" s="1"/>
      <x:c r="J51" s="1"/>
    </x:row>
    <x:row r="52">
      <x:c r="A52" s="1" t="str">
        <x:v>One-time third-party platform setup</x:v>
      </x:c>
      <x:c r="B52" s="1" t="str">
        <x:v>license / fee</x:v>
      </x:c>
      <x:c r="C52" s="12"/>
      <x:c r="D52" s="1" t="n">
        <x:v>1</x:v>
      </x:c>
      <x:c r="E52" s="13"/>
      <x:c r="F52" s="14" t="str">
        <x:f>IF(C52="","Input qty",IF(C52=0,0,IF(E52="","Input rate",C52*D52*E52)))</x:f>
        <x:v>Input qty</x:v>
      </x:c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 t="str">
        <x:v>Approved rate source</x:v>
      </x:c>
      <x:c r="B55" s="1" t="str">
        <x:v>Agency OCI Gov contract / rate card; replace with approved regional net rates.</x:v>
      </x:c>
      <x:c r="C55" s="1"/>
      <x:c r="D55" s="1"/>
      <x:c r="E55" s="1"/>
      <x:c r="F55" s="1"/>
      <x:c r="G55" s="1"/>
      <x:c r="H55" s="1"/>
      <x:c r="I55" s="1"/>
      <x:c r="J55" s="1"/>
    </x:row>
    <x:row r="56">
      <x:c r="A56" s="1" t="str">
        <x:v>OCI official estimator</x:v>
      </x:c>
      <x:c r="B56" s="1" t="str">
        <x:v>https://docs.oracle.com/en-us/iaas/Content/Billing/Tasks/signingup_topic-Estimating_Costs.htm</x:v>
      </x:c>
      <x:c r="C56" s="1"/>
      <x:c r="D56" s="1"/>
      <x:c r="E56" s="1"/>
      <x:c r="F56" s="1"/>
      <x:c r="G56" s="1"/>
      <x:c r="H56" s="1"/>
      <x:c r="I56" s="1"/>
      <x:c r="J56" s="1"/>
    </x:row>
    <x:row r="57">
      <x:c r="A57" s="1" t="str">
        <x:v>Calculation interpretation</x:v>
      </x:c>
      <x:c r="B57" s="1" t="str">
        <x:v>Full monthly expense, not automatically incremental DR expense. Mark deliberate exclusions as quantity 0.</x:v>
      </x:c>
      <x:c r="C57" s="1"/>
      <x:c r="D57" s="1"/>
      <x:c r="E57" s="1"/>
      <x:c r="F57" s="1"/>
      <x:c r="G57" s="1"/>
      <x:c r="H57" s="1"/>
      <x:c r="I57" s="1"/>
      <x:c r="J57" s="1"/>
    </x:row>
    <x:row r="58">
      <x:c r="A58" s="1" t="str">
        <x:v>GPU note</x:v>
      </x:c>
      <x:c r="B58" s="1" t="str">
        <x:v>A10.2 capacity is unconfirmed in OC2. GPU hours are independently editable.</x:v>
      </x:c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26" hidden="0" customWidth="1"/>
    <x:col min="4" max="4" width="16" hidden="0" customWidth="1"/>
    <x:col min="5" max="5" width="16" hidden="0" customWidth="1"/>
    <x:col min="6" max="6" width="42" hidden="0" customWidth="1"/>
    <x:col min="7" max="7" width="32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Workload DR Scope and Recovery Targets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 t="str">
        <x:v>Provisional targets. Approve per system after vendor, mission, security and site-failure testing.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4" customHeight="1">
      <x:c r="A6" s="9" t="str">
        <x:v>System / group</x:v>
      </x:c>
      <x:c r="B6" s="9" t="str">
        <x:v>Normal owner site</x:v>
      </x:c>
      <x:c r="C6" s="9" t="str">
        <x:v>Opposite warm site</x:v>
      </x:c>
      <x:c r="D6" s="9" t="str">
        <x:v>Target RPO</x:v>
      </x:c>
      <x:c r="E6" s="9" t="str">
        <x:v>Target RTO</x:v>
      </x:c>
      <x:c r="F6" s="9" t="str">
        <x:v>Data / service recovery approach</x:v>
      </x:c>
      <x:c r="G6" s="9" t="str">
        <x:v>Critical dependency</x:v>
      </x:c>
      <x:c r="H6" s="9" t="str">
        <x:v>Approval</x:v>
      </x:c>
      <x:c r="I6" s="1"/>
      <x:c r="J6" s="1"/>
    </x:row>
    <x:row r="7">
      <x:c r="A7" s="1" t="str">
        <x:v>CDAS</x:v>
      </x:c>
      <x:c r="B7" s="1" t="str">
        <x:v>Validate</x:v>
      </x:c>
      <x:c r="C7" s="1" t="str">
        <x:v>Validate</x:v>
      </x:c>
      <x:c r="D7" s="1" t="str">
        <x:v>≤15 min</x:v>
      </x:c>
      <x:c r="E7" s="1" t="str">
        <x:v>≤2 hr</x:v>
      </x:c>
      <x:c r="F7" s="1" t="str">
        <x:v>App-consistent replication / warm service</x:v>
      </x:c>
      <x:c r="G7" s="1" t="str">
        <x:v>DB, identity, storage</x:v>
      </x:c>
      <x:c r="H7" s="6" t="str">
        <x:v>Pending</x:v>
      </x:c>
      <x:c r="I7" s="1"/>
      <x:c r="J7" s="1"/>
    </x:row>
    <x:row r="8">
      <x:c r="A8" s="11" t="str">
        <x:v>MSAS</x:v>
      </x:c>
      <x:c r="B8" s="11" t="str">
        <x:v>Validate</x:v>
      </x:c>
      <x:c r="C8" s="11" t="str">
        <x:v>Validate</x:v>
      </x:c>
      <x:c r="D8" s="11" t="str">
        <x:v>≤15 min</x:v>
      </x:c>
      <x:c r="E8" s="11" t="str">
        <x:v>≤2 hr</x:v>
      </x:c>
      <x:c r="F8" s="11" t="str">
        <x:v>Warm compute/GPU and data replication</x:v>
      </x:c>
      <x:c r="G8" s="11" t="str">
        <x:v>GPU, DB, network</x:v>
      </x:c>
      <x:c r="H8" s="6" t="str">
        <x:v>Pending</x:v>
      </x:c>
      <x:c r="I8" s="1"/>
      <x:c r="J8" s="1"/>
    </x:row>
    <x:row r="9">
      <x:c r="A9" s="1" t="str">
        <x:v>DataWalk Dev</x:v>
      </x:c>
      <x:c r="B9" s="1" t="str">
        <x:v>On-prem / OCI validation</x:v>
      </x:c>
      <x:c r="C9" s="1" t="str">
        <x:v>Opposite site</x:v>
      </x:c>
      <x:c r="D9" s="1" t="str">
        <x:v>≤24 hr</x:v>
      </x:c>
      <x:c r="E9" s="1" t="str">
        <x:v>≤24 hr</x:v>
      </x:c>
      <x:c r="F9" s="1" t="str">
        <x:v>IaC, private images, data backup</x:v>
      </x:c>
      <x:c r="G9" s="1" t="str">
        <x:v>Separate OKE; private OCIR</x:v>
      </x:c>
      <x:c r="H9" s="6" t="str">
        <x:v>Pending</x:v>
      </x:c>
      <x:c r="I9" s="1"/>
      <x:c r="J9" s="1"/>
    </x:row>
    <x:row r="10">
      <x:c r="A10" s="11" t="str">
        <x:v>DataWalk Test</x:v>
      </x:c>
      <x:c r="B10" s="11" t="str">
        <x:v>On-prem / OCI validation</x:v>
      </x:c>
      <x:c r="C10" s="11" t="str">
        <x:v>Opposite site</x:v>
      </x:c>
      <x:c r="D10" s="11" t="str">
        <x:v>≤24 hr</x:v>
      </x:c>
      <x:c r="E10" s="11" t="str">
        <x:v>≤24 hr</x:v>
      </x:c>
      <x:c r="F10" s="11" t="str">
        <x:v>IaC and data restore</x:v>
      </x:c>
      <x:c r="G10" s="11" t="str">
        <x:v>Separate OKE; test data</x:v>
      </x:c>
      <x:c r="H10" s="6" t="str">
        <x:v>Pending</x:v>
      </x:c>
      <x:c r="I10" s="1"/>
      <x:c r="J10" s="1"/>
    </x:row>
    <x:row r="11">
      <x:c r="A11" s="1" t="str">
        <x:v>DataWalk Prod</x:v>
      </x:c>
      <x:c r="B11" s="1" t="str">
        <x:v>On-prem / OCI validation</x:v>
      </x:c>
      <x:c r="C11" s="1" t="str">
        <x:v>Opposite site</x:v>
      </x:c>
      <x:c r="D11" s="1" t="str">
        <x:v>≤1 hr</x:v>
      </x:c>
      <x:c r="E11" s="1" t="str">
        <x:v>≤4 hr</x:v>
      </x:c>
      <x:c r="F11" s="1" t="str">
        <x:v>Vendor-certified app/data replication</x:v>
      </x:c>
      <x:c r="G11" s="1" t="str">
        <x:v>Separate OKE, persistent state</x:v>
      </x:c>
      <x:c r="H11" s="6" t="str">
        <x:v>Pending</x:v>
      </x:c>
      <x:c r="I11" s="1"/>
      <x:c r="J11" s="1"/>
    </x:row>
    <x:row r="12">
      <x:c r="A12" s="11" t="str">
        <x:v>Hyperscience Test</x:v>
      </x:c>
      <x:c r="B12" s="11" t="str">
        <x:v>On-prem / OCI validation</x:v>
      </x:c>
      <x:c r="C12" s="11" t="str">
        <x:v>Opposite site</x:v>
      </x:c>
      <x:c r="D12" s="11" t="str">
        <x:v>≤24 hr</x:v>
      </x:c>
      <x:c r="E12" s="11" t="str">
        <x:v>≤24 hr</x:v>
      </x:c>
      <x:c r="F12" s="11" t="str">
        <x:v>Cluster rebuild and state restore</x:v>
      </x:c>
      <x:c r="G12" s="11" t="str">
        <x:v>Separate OKE, CPU/GPU</x:v>
      </x:c>
      <x:c r="H12" s="6" t="str">
        <x:v>Pending</x:v>
      </x:c>
      <x:c r="I12" s="1"/>
      <x:c r="J12" s="1"/>
    </x:row>
    <x:row r="13">
      <x:c r="A13" s="1" t="str">
        <x:v>Hyperscience Prod</x:v>
      </x:c>
      <x:c r="B13" s="1" t="str">
        <x:v>On-prem / OCI validation</x:v>
      </x:c>
      <x:c r="C13" s="1" t="str">
        <x:v>Opposite site</x:v>
      </x:c>
      <x:c r="D13" s="1" t="str">
        <x:v>≤1 hr</x:v>
      </x:c>
      <x:c r="E13" s="1" t="str">
        <x:v>≤4 hr</x:v>
      </x:c>
      <x:c r="F13" s="1" t="str">
        <x:v>Model/data restore and warm GPU</x:v>
      </x:c>
      <x:c r="G13" s="1" t="str">
        <x:v>Separate OKE, A10 quota</x:v>
      </x:c>
      <x:c r="H13" s="6" t="str">
        <x:v>Pending</x:v>
      </x:c>
      <x:c r="I13" s="1"/>
      <x:c r="J13" s="1"/>
    </x:row>
    <x:row r="14">
      <x:c r="A14" s="11" t="str">
        <x:v>VMware/RHEL workloads</x:v>
      </x:c>
      <x:c r="B14" s="11" t="str">
        <x:v>On-prem / OCI validation</x:v>
      </x:c>
      <x:c r="C14" s="11" t="str">
        <x:v>Opposite site</x:v>
      </x:c>
      <x:c r="D14" s="11" t="str">
        <x:v>≤1 hr</x:v>
      </x:c>
      <x:c r="E14" s="11" t="str">
        <x:v>≤4 hr</x:v>
      </x:c>
      <x:c r="F14" s="11" t="str">
        <x:v>Agent replication / tested image restore</x:v>
      </x:c>
      <x:c r="G14" s="11" t="str">
        <x:v>OS boot, licensing, DHCP</x:v>
      </x:c>
      <x:c r="H14" s="6" t="str">
        <x:v>Pending</x:v>
      </x:c>
      <x:c r="I14" s="1"/>
      <x:c r="J14" s="1"/>
    </x:row>
    <x:row r="15">
      <x:c r="A15" s="1" t="str">
        <x:v>Oracle databases</x:v>
      </x:c>
      <x:c r="B15" s="1" t="str">
        <x:v>Validate master</x:v>
      </x:c>
      <x:c r="C15" s="1" t="str">
        <x:v>Opposite site</x:v>
      </x:c>
      <x:c r="D15" s="1" t="str">
        <x:v>≤15 min</x:v>
      </x:c>
      <x:c r="E15" s="1" t="str">
        <x:v>≤2 hr</x:v>
      </x:c>
      <x:c r="F15" s="1" t="str">
        <x:v>Data Guard where supported/licensed</x:v>
      </x:c>
      <x:c r="G15" s="1" t="str">
        <x:v>Redo, TDE, DNS, DB version</x:v>
      </x:c>
      <x:c r="H15" s="6" t="str">
        <x:v>Pending</x:v>
      </x:c>
      <x:c r="I15" s="1"/>
      <x:c r="J15" s="1"/>
    </x:row>
    <x:row r="16">
      <x:c r="A16" s="11" t="str">
        <x:v>Non-Oracle databases</x:v>
      </x:c>
      <x:c r="B16" s="11" t="str">
        <x:v>Validate master</x:v>
      </x:c>
      <x:c r="C16" s="11" t="str">
        <x:v>Opposite site</x:v>
      </x:c>
      <x:c r="D16" s="11" t="str">
        <x:v>≤15 min</x:v>
      </x:c>
      <x:c r="E16" s="11" t="str">
        <x:v>≤2 hr</x:v>
      </x:c>
      <x:c r="F16" s="11" t="str">
        <x:v>Native log replication / snapshot</x:v>
      </x:c>
      <x:c r="G16" s="11" t="str">
        <x:v>Write fencing / consistency</x:v>
      </x:c>
      <x:c r="H16" s="6" t="str">
        <x:v>Pending</x:v>
      </x:c>
      <x:c r="I16" s="1"/>
      <x:c r="J16" s="1"/>
    </x:row>
    <x:row r="17">
      <x:c r="A17" s="1" t="str">
        <x:v>AD / ADFS / DNS / NTP</x:v>
      </x:c>
      <x:c r="B17" s="1" t="str">
        <x:v>Independent access</x:v>
      </x:c>
      <x:c r="C17" s="1" t="str">
        <x:v>Independent access</x:v>
      </x:c>
      <x:c r="D17" s="1" t="str">
        <x:v>≤15 min</x:v>
      </x:c>
      <x:c r="E17" s="1" t="str">
        <x:v>≤1 hr</x:v>
      </x:c>
      <x:c r="F17" s="1" t="str">
        <x:v>Site-aware service resilience</x:v>
      </x:c>
      <x:c r="G17" s="1" t="str">
        <x:v>MFA, clock, identity</x:v>
      </x:c>
      <x:c r="H17" s="6" t="str">
        <x:v>Pending</x:v>
      </x:c>
      <x:c r="I17" s="1"/>
      <x:c r="J17" s="1"/>
    </x:row>
    <x:row r="18">
      <x:c r="A18" s="11" t="str">
        <x:v>VDMS / VDSS</x:v>
      </x:c>
      <x:c r="B18" s="11" t="str">
        <x:v>OCI / agency design</x:v>
      </x:c>
      <x:c r="C18" s="11" t="str">
        <x:v>Surviving access</x:v>
      </x:c>
      <x:c r="D18" s="11" t="str">
        <x:v>Config backup</x:v>
      </x:c>
      <x:c r="E18" s="11" t="str">
        <x:v>≤1 hr</x:v>
      </x:c>
      <x:c r="F18" s="11" t="str">
        <x:v>Independent inspection/management</x:v>
      </x:c>
      <x:c r="G18" s="11" t="str">
        <x:v>DRG route symmetry</x:v>
      </x:c>
      <x:c r="H18" s="6" t="str">
        <x:v>Pending</x:v>
      </x:c>
      <x:c r="I18" s="1"/>
      <x:c r="J18" s="1"/>
    </x:row>
    <x:row r="19">
      <x:c r="A19" s="1" t="str">
        <x:v>Jumpbox / Shared services</x:v>
      </x:c>
      <x:c r="B19" s="1" t="str">
        <x:v>Both sites</x:v>
      </x:c>
      <x:c r="C19" s="1" t="str">
        <x:v>Independent paths</x:v>
      </x:c>
      <x:c r="D19" s="1" t="str">
        <x:v>Config backup</x:v>
      </x:c>
      <x:c r="E19" s="1" t="str">
        <x:v>≤1 hr</x:v>
      </x:c>
      <x:c r="F19" s="1" t="str">
        <x:v>Break-glass admin + secrets recovery</x:v>
      </x:c>
      <x:c r="G19" s="1" t="str">
        <x:v>PAM, PKI, telemetry</x:v>
      </x:c>
      <x:c r="H19" s="6" t="str">
        <x:v>Pending</x:v>
      </x:c>
      <x:c r="I19" s="1"/>
      <x:c r="J19" s="1"/>
    </x:row>
    <x:row r="20">
      <x:c r="A20" s="11" t="str">
        <x:v>Sandbox / Dev</x:v>
      </x:c>
      <x:c r="B20" s="11" t="str">
        <x:v>Validate</x:v>
      </x:c>
      <x:c r="C20" s="11" t="str">
        <x:v>Opposite site</x:v>
      </x:c>
      <x:c r="D20" s="11" t="str">
        <x:v>≤24 hr</x:v>
      </x:c>
      <x:c r="E20" s="11" t="str">
        <x:v>≤48 hr</x:v>
      </x:c>
      <x:c r="F20" s="11" t="str">
        <x:v>Backup / IaC recreation</x:v>
      </x:c>
      <x:c r="G20" s="11" t="str">
        <x:v>Images, repos, classification</x:v>
      </x:c>
      <x:c r="H20" s="6" t="str">
        <x:v>Pending</x:v>
      </x:c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 t="str">
        <x:v>Inventory evidence</x:v>
      </x:c>
      <x:c r="B23" s="1" t="str">
        <x:v>Existing DW/HS project identified 16 DataWalk plus 4 Hyperscience servers; full CMDB inventory remains open.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 t="str">
        <x:v>Active-active definition</x:v>
      </x:c>
      <x:c r="B24" s="1" t="str">
        <x:v>Both sites may host production workloads. A single workload stays single-writer unless certified multi-master.</x:v>
      </x:c>
      <x:c r="C24" s="1"/>
      <x:c r="D24" s="1"/>
      <x:c r="E24" s="1"/>
      <x:c r="F24" s="1"/>
      <x:c r="G24" s="1"/>
      <x:c r="H24" s="1"/>
      <x:c r="I24" s="1"/>
      <x:c r="J24" s="1"/>
    </x:row>
    <x:row r="25">
      <x:c r="A25" s="1" t="str">
        <x:v>Security gate</x:v>
      </x:c>
      <x:c r="B25" s="1" t="str">
        <x:v>Government ATO, classification, Rule 6(e), vendor limits and approved route/firewall matrix required.</x:v>
      </x:c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</x:sheetData>
  <x:pageMargins left="0.7" right="0.7" top="0.75" bottom="0.75" header="0.3" footer="0.3"/>
</x:worksheet>
</file>